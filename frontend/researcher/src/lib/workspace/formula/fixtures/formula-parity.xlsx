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2i\AppData\Local\Temp\claude\d--dynodoc\d6a71c43-4249-481b-b108-30124b956814\scratchpad\fe-eval\"/>
    </mc:Choice>
  </mc:AlternateContent>
  <xr:revisionPtr revIDLastSave="0" documentId="8_{DF2D1A01-0D1B-447C-9401-47040E8B966A}" xr6:coauthVersionLast="47" xr6:coauthVersionMax="47" xr10:uidLastSave="{00000000-0000-0000-0000-000000000000}"/>
  <bookViews>
    <workbookView xWindow="4800" yWindow="3110" windowWidth="14400" windowHeight="8170" activeTab="4" xr2:uid="{7DEDB035-CCFF-4A94-BB82-4974DA03C1AE}"/>
  </bookViews>
  <sheets>
    <sheet name="Budget" sheetId="1" r:id="rId1"/>
    <sheet name="Rates" sheetId="2" r:id="rId2"/>
    <sheet name="Staff" sheetId="3" r:id="rId3"/>
    <sheet name="Loan" sheetId="4" r:id="rId4"/>
    <sheet name="Stats" sheetId="5" r:id="rId5"/>
  </sheets>
  <definedNames>
    <definedName name="GrandTotal">Budget!$H$10</definedName>
    <definedName name="MonthlyTotals">Budget!$B$10:$G$10</definedName>
    <definedName name="TaxRate">Rates!$F$1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5" l="1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" i="5"/>
  <c r="E15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H5" i="4"/>
  <c r="G5" i="4"/>
  <c r="F5" i="4"/>
  <c r="E5" i="4"/>
  <c r="H4" i="4"/>
  <c r="G4" i="4"/>
  <c r="F4" i="4"/>
  <c r="E4" i="4"/>
  <c r="H3" i="4"/>
  <c r="G3" i="4"/>
  <c r="F3" i="4"/>
  <c r="E3" i="4"/>
  <c r="H2" i="4"/>
  <c r="G2" i="4"/>
  <c r="F2" i="4"/>
  <c r="E2" i="4"/>
  <c r="B22" i="4"/>
  <c r="B21" i="4"/>
  <c r="B20" i="4"/>
  <c r="B12" i="4"/>
  <c r="B11" i="4"/>
  <c r="B10" i="4"/>
  <c r="B9" i="4"/>
  <c r="B8" i="4"/>
  <c r="B7" i="4"/>
  <c r="B6" i="4"/>
  <c r="B5" i="4"/>
  <c r="B4" i="4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K11" i="3"/>
  <c r="J11" i="3"/>
  <c r="I11" i="3"/>
  <c r="H11" i="3"/>
  <c r="G11" i="3"/>
  <c r="F11" i="3"/>
  <c r="E11" i="3"/>
  <c r="K10" i="3"/>
  <c r="J10" i="3"/>
  <c r="I10" i="3"/>
  <c r="H10" i="3"/>
  <c r="G10" i="3"/>
  <c r="F10" i="3"/>
  <c r="E10" i="3"/>
  <c r="K9" i="3"/>
  <c r="J9" i="3"/>
  <c r="I9" i="3"/>
  <c r="H9" i="3"/>
  <c r="G9" i="3"/>
  <c r="F9" i="3"/>
  <c r="E9" i="3"/>
  <c r="K8" i="3"/>
  <c r="J8" i="3"/>
  <c r="I8" i="3"/>
  <c r="H8" i="3"/>
  <c r="G8" i="3"/>
  <c r="F8" i="3"/>
  <c r="E8" i="3"/>
  <c r="K7" i="3"/>
  <c r="J7" i="3"/>
  <c r="I7" i="3"/>
  <c r="H7" i="3"/>
  <c r="G7" i="3"/>
  <c r="F7" i="3"/>
  <c r="E7" i="3"/>
  <c r="K6" i="3"/>
  <c r="J6" i="3"/>
  <c r="I6" i="3"/>
  <c r="H6" i="3"/>
  <c r="G6" i="3"/>
  <c r="F6" i="3"/>
  <c r="E6" i="3"/>
  <c r="K5" i="3"/>
  <c r="J5" i="3"/>
  <c r="I5" i="3"/>
  <c r="H5" i="3"/>
  <c r="G5" i="3"/>
  <c r="F5" i="3"/>
  <c r="E5" i="3"/>
  <c r="K4" i="3"/>
  <c r="J4" i="3"/>
  <c r="I4" i="3"/>
  <c r="H4" i="3"/>
  <c r="G4" i="3"/>
  <c r="F4" i="3"/>
  <c r="E4" i="3"/>
  <c r="K3" i="3"/>
  <c r="J3" i="3"/>
  <c r="I3" i="3"/>
  <c r="H3" i="3"/>
  <c r="G3" i="3"/>
  <c r="F3" i="3"/>
  <c r="E3" i="3"/>
  <c r="K2" i="3"/>
  <c r="J2" i="3"/>
  <c r="I2" i="3"/>
  <c r="H2" i="3"/>
  <c r="G2" i="3"/>
  <c r="F2" i="3"/>
  <c r="E2" i="3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K10" i="1"/>
  <c r="I10" i="1"/>
  <c r="H10" i="1"/>
  <c r="I8" i="1" s="1"/>
  <c r="G10" i="1"/>
  <c r="F10" i="1"/>
  <c r="E10" i="1"/>
  <c r="D10" i="1"/>
  <c r="C10" i="1"/>
  <c r="B10" i="1"/>
  <c r="K9" i="1"/>
  <c r="J9" i="1"/>
  <c r="I9" i="1"/>
  <c r="H9" i="1"/>
  <c r="K8" i="1"/>
  <c r="J8" i="1"/>
  <c r="H8" i="1"/>
  <c r="K7" i="1"/>
  <c r="J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I7" i="1" l="1"/>
</calcChain>
</file>

<file path=xl/sharedStrings.xml><?xml version="1.0" encoding="utf-8"?>
<sst xmlns="http://schemas.openxmlformats.org/spreadsheetml/2006/main" count="178" uniqueCount="148">
  <si>
    <t>Category</t>
  </si>
  <si>
    <t>Jan</t>
  </si>
  <si>
    <t>Feb</t>
  </si>
  <si>
    <t>Mar</t>
  </si>
  <si>
    <t>Apr</t>
  </si>
  <si>
    <t>May</t>
  </si>
  <si>
    <t>Jun</t>
  </si>
  <si>
    <t>Total</t>
  </si>
  <si>
    <t>Share</t>
  </si>
  <si>
    <t>Status</t>
  </si>
  <si>
    <t>Average</t>
  </si>
  <si>
    <t>Rent</t>
  </si>
  <si>
    <t>Salaries</t>
  </si>
  <si>
    <t>Travel</t>
  </si>
  <si>
    <t>Software</t>
  </si>
  <si>
    <t>Marketing</t>
  </si>
  <si>
    <t>Supplies</t>
  </si>
  <si>
    <t>Training</t>
  </si>
  <si>
    <t>Legal</t>
  </si>
  <si>
    <t>Largest category</t>
  </si>
  <si>
    <t>Smallest category</t>
  </si>
  <si>
    <t>Categories above average</t>
  </si>
  <si>
    <t>High-cost total</t>
  </si>
  <si>
    <t>Months over 12000</t>
  </si>
  <si>
    <t>Growth Jan to Jun</t>
  </si>
  <si>
    <t>Summary</t>
  </si>
  <si>
    <t>Quarter 1</t>
  </si>
  <si>
    <t>Quarter 2</t>
  </si>
  <si>
    <t>Change</t>
  </si>
  <si>
    <t>Named total</t>
  </si>
  <si>
    <t>Peak month total</t>
  </si>
  <si>
    <t>Months</t>
  </si>
  <si>
    <t>Grade</t>
  </si>
  <si>
    <t>Base</t>
  </si>
  <si>
    <t>Bonus rate</t>
  </si>
  <si>
    <t>A</t>
  </si>
  <si>
    <t>B</t>
  </si>
  <si>
    <t>C</t>
  </si>
  <si>
    <t>D</t>
  </si>
  <si>
    <t>E</t>
  </si>
  <si>
    <t>Tax</t>
  </si>
  <si>
    <t>Name</t>
  </si>
  <si>
    <t>Dept</t>
  </si>
  <si>
    <t>Hired</t>
  </si>
  <si>
    <t>Bonus</t>
  </si>
  <si>
    <t>Gross</t>
  </si>
  <si>
    <t>Net</t>
  </si>
  <si>
    <t>Tenure</t>
  </si>
  <si>
    <t>Initials</t>
  </si>
  <si>
    <t>Code</t>
  </si>
  <si>
    <t>Maya Chen</t>
  </si>
  <si>
    <t>Ops</t>
  </si>
  <si>
    <t>Sam Okoye</t>
  </si>
  <si>
    <t>Finance</t>
  </si>
  <si>
    <t>Priya Nair</t>
  </si>
  <si>
    <t>Luca Rossi</t>
  </si>
  <si>
    <t>Sales</t>
  </si>
  <si>
    <t>Ana Costa</t>
  </si>
  <si>
    <t>Jonas Weber</t>
  </si>
  <si>
    <t>Mei Tanaka</t>
  </si>
  <si>
    <t>Omar Haddad</t>
  </si>
  <si>
    <t>Sofia Petrov</t>
  </si>
  <si>
    <t>Noah Kim</t>
  </si>
  <si>
    <t>Headcount</t>
  </si>
  <si>
    <t>Payroll</t>
  </si>
  <si>
    <t>Average net</t>
  </si>
  <si>
    <t>Ops payroll</t>
  </si>
  <si>
    <t>Sales headcount</t>
  </si>
  <si>
    <t>Finance average gross</t>
  </si>
  <si>
    <t>Senior ops</t>
  </si>
  <si>
    <t>Highest paid</t>
  </si>
  <si>
    <t>Earliest hire</t>
  </si>
  <si>
    <t>Latest hire</t>
  </si>
  <si>
    <t>Median gross</t>
  </si>
  <si>
    <t>Top 3 sum</t>
  </si>
  <si>
    <t>Rank of Maya</t>
  </si>
  <si>
    <t>Net above 60k</t>
  </si>
  <si>
    <t>Distinct depts</t>
  </si>
  <si>
    <t>Full report</t>
  </si>
  <si>
    <t>Weekday of first hire</t>
  </si>
  <si>
    <t>Months since first hire</t>
  </si>
  <si>
    <t>End of month</t>
  </si>
  <si>
    <t>Working days</t>
  </si>
  <si>
    <t>Sorted lookup</t>
  </si>
  <si>
    <t>Principal</t>
  </si>
  <si>
    <t>Annual rate</t>
  </si>
  <si>
    <t>Years</t>
  </si>
  <si>
    <t>Monthly payment</t>
  </si>
  <si>
    <t>Total paid</t>
  </si>
  <si>
    <t>Total interest</t>
  </si>
  <si>
    <t>First interest</t>
  </si>
  <si>
    <t>First principal</t>
  </si>
  <si>
    <t>Future value of savings</t>
  </si>
  <si>
    <t>Present value</t>
  </si>
  <si>
    <t>Periods to payoff</t>
  </si>
  <si>
    <t>NPV</t>
  </si>
  <si>
    <t>Cash flows</t>
  </si>
  <si>
    <t>IRR</t>
  </si>
  <si>
    <t>Straight-line depreciation</t>
  </si>
  <si>
    <t>Effective rate</t>
  </si>
  <si>
    <t>Month</t>
  </si>
  <si>
    <t>Opening</t>
  </si>
  <si>
    <t>Interest</t>
  </si>
  <si>
    <t>Closing</t>
  </si>
  <si>
    <t>Year-end balance</t>
  </si>
  <si>
    <t>Interest in year 1</t>
  </si>
  <si>
    <t>x</t>
  </si>
  <si>
    <t>y</t>
  </si>
  <si>
    <t>group</t>
  </si>
  <si>
    <t>a</t>
  </si>
  <si>
    <t>b</t>
  </si>
  <si>
    <t>c</t>
  </si>
  <si>
    <t>Mean x</t>
  </si>
  <si>
    <t>Median x</t>
  </si>
  <si>
    <t>Stdev x</t>
  </si>
  <si>
    <t>Variance x</t>
  </si>
  <si>
    <t>Pop stdev</t>
  </si>
  <si>
    <t>Min</t>
  </si>
  <si>
    <t>Max</t>
  </si>
  <si>
    <t>Range</t>
  </si>
  <si>
    <t>Correlation</t>
  </si>
  <si>
    <t>Slope</t>
  </si>
  <si>
    <t>Intercept</t>
  </si>
  <si>
    <t>R squared</t>
  </si>
  <si>
    <t>Forecast at 25</t>
  </si>
  <si>
    <t>90th percentile</t>
  </si>
  <si>
    <t>Quartile 1</t>
  </si>
  <si>
    <t>Quartile 3</t>
  </si>
  <si>
    <t>Count above mean</t>
  </si>
  <si>
    <t>Sum group a</t>
  </si>
  <si>
    <t>Average group b</t>
  </si>
  <si>
    <t>Count group c</t>
  </si>
  <si>
    <t>Skew</t>
  </si>
  <si>
    <t>Kurtosis</t>
  </si>
  <si>
    <t>Geometric mean</t>
  </si>
  <si>
    <t>Mode-like</t>
  </si>
  <si>
    <t>Z score of 10</t>
  </si>
  <si>
    <t>Normal cdf</t>
  </si>
  <si>
    <t>Std error</t>
  </si>
  <si>
    <t>Rounded mean</t>
  </si>
  <si>
    <t>Ceiling</t>
  </si>
  <si>
    <t>Floor</t>
  </si>
  <si>
    <t>Integer part</t>
  </si>
  <si>
    <t>Sign</t>
  </si>
  <si>
    <t>Abs dev</t>
  </si>
  <si>
    <t>Dev sq</t>
  </si>
  <si>
    <t>Harmonic</t>
  </si>
  <si>
    <t>Trim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</si>
</sst>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8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5F25-4EA6-415E-919A-E3B0571815D6}">
  <dimension ref="A1:K24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1200</v>
      </c>
      <c r="C2">
        <v>1410</v>
      </c>
      <c r="D2">
        <v>1290</v>
      </c>
      <c r="E2">
        <v>1500</v>
      </c>
      <c r="F2">
        <v>1380</v>
      </c>
      <c r="G2">
        <v>1260</v>
      </c>
      <c r="H2">
        <f>SUM(B2:G2)</f>
        <v>8040</v>
      </c>
      <c r="I2">
        <f>H2/$H$10</f>
        <v>9.5812950240426159E-2</v>
      </c>
      <c r="J2" t="str">
        <f>IF(H2&gt;5000,"High",IF(H2&gt;1000,"Medium","Low"))</f>
        <v>High</v>
      </c>
      <c r="K2">
        <f>ROUND(AVERAGE(B2:G2),2)</f>
        <v>1340</v>
      </c>
    </row>
    <row r="3" spans="1:11" x14ac:dyDescent="0.35">
      <c r="A3" t="s">
        <v>12</v>
      </c>
      <c r="B3">
        <v>9030</v>
      </c>
      <c r="C3">
        <v>10500</v>
      </c>
      <c r="D3">
        <v>9660</v>
      </c>
      <c r="E3">
        <v>8820</v>
      </c>
      <c r="F3">
        <v>10290</v>
      </c>
      <c r="G3">
        <v>9450</v>
      </c>
      <c r="H3">
        <f>SUM(B3:G3)</f>
        <v>57750</v>
      </c>
      <c r="I3">
        <f>H3/$H$10</f>
        <v>0.68820869109261318</v>
      </c>
      <c r="J3" t="str">
        <f>IF(H3&gt;5000,"High",IF(H3&gt;1000,"Medium","Low"))</f>
        <v>High</v>
      </c>
      <c r="K3">
        <f>ROUND(AVERAGE(B3:G3),2)</f>
        <v>9625</v>
      </c>
    </row>
    <row r="4" spans="1:11" x14ac:dyDescent="0.35">
      <c r="A4" t="s">
        <v>13</v>
      </c>
      <c r="B4">
        <v>747.5</v>
      </c>
      <c r="C4">
        <v>682.5</v>
      </c>
      <c r="D4">
        <v>796.25</v>
      </c>
      <c r="E4">
        <v>731.25</v>
      </c>
      <c r="F4">
        <v>666.25</v>
      </c>
      <c r="G4">
        <v>780</v>
      </c>
      <c r="H4">
        <f>SUM(B4:G4)</f>
        <v>4403.75</v>
      </c>
      <c r="I4">
        <f>H4/$H$10</f>
        <v>5.2479636768815507E-2</v>
      </c>
      <c r="J4" t="str">
        <f>IF(H4&gt;5000,"High",IF(H4&gt;1000,"Medium","Low"))</f>
        <v>Medium</v>
      </c>
      <c r="K4">
        <f>ROUND(AVERAGE(B4:G4),2)</f>
        <v>733.96</v>
      </c>
    </row>
    <row r="5" spans="1:11" x14ac:dyDescent="0.35">
      <c r="A5" t="s">
        <v>14</v>
      </c>
      <c r="B5">
        <v>514.5</v>
      </c>
      <c r="C5">
        <v>472.5</v>
      </c>
      <c r="D5">
        <v>430.5</v>
      </c>
      <c r="E5">
        <v>504</v>
      </c>
      <c r="F5">
        <v>462</v>
      </c>
      <c r="G5">
        <v>420</v>
      </c>
      <c r="H5">
        <f>SUM(B5:G5)</f>
        <v>2803.5</v>
      </c>
      <c r="I5">
        <f>H5/$H$10</f>
        <v>3.3409403731223225E-2</v>
      </c>
      <c r="J5" t="str">
        <f>IF(H5&gt;5000,"High",IF(H5&gt;1000,"Medium","Low"))</f>
        <v>Medium</v>
      </c>
      <c r="K5">
        <f>ROUND(AVERAGE(B5:G5),2)</f>
        <v>467.25</v>
      </c>
    </row>
    <row r="6" spans="1:11" x14ac:dyDescent="0.35">
      <c r="A6" t="s">
        <v>15</v>
      </c>
      <c r="B6">
        <v>922.5</v>
      </c>
      <c r="C6">
        <v>1080</v>
      </c>
      <c r="D6">
        <v>990</v>
      </c>
      <c r="E6">
        <v>900</v>
      </c>
      <c r="F6">
        <v>1057.5</v>
      </c>
      <c r="G6">
        <v>967.5</v>
      </c>
      <c r="H6">
        <f>SUM(B6:G6)</f>
        <v>5917.5</v>
      </c>
      <c r="I6">
        <f>H6/$H$10</f>
        <v>7.0519046398970373E-2</v>
      </c>
      <c r="J6" t="str">
        <f>IF(H6&gt;5000,"High",IF(H6&gt;1000,"Medium","Low"))</f>
        <v>High</v>
      </c>
      <c r="K6">
        <f>ROUND(AVERAGE(B6:G6),2)</f>
        <v>986.25</v>
      </c>
    </row>
    <row r="7" spans="1:11" x14ac:dyDescent="0.35">
      <c r="A7" t="s">
        <v>16</v>
      </c>
      <c r="B7">
        <v>198</v>
      </c>
      <c r="C7">
        <v>180</v>
      </c>
      <c r="D7">
        <v>211.5</v>
      </c>
      <c r="E7">
        <v>193.5</v>
      </c>
      <c r="F7">
        <v>225</v>
      </c>
      <c r="G7">
        <v>207</v>
      </c>
      <c r="H7">
        <f>SUM(B7:G7)</f>
        <v>1215</v>
      </c>
      <c r="I7">
        <f>H7/$H$10</f>
        <v>1.4479195838571863E-2</v>
      </c>
      <c r="J7" t="str">
        <f>IF(H7&gt;5000,"High",IF(H7&gt;1000,"Medium","Low"))</f>
        <v>Medium</v>
      </c>
      <c r="K7">
        <f>ROUND(AVERAGE(B7:G7),2)</f>
        <v>202.5</v>
      </c>
    </row>
    <row r="8" spans="1:11" x14ac:dyDescent="0.35">
      <c r="A8" t="s">
        <v>17</v>
      </c>
      <c r="B8">
        <v>352.5</v>
      </c>
      <c r="C8">
        <v>322.5</v>
      </c>
      <c r="D8">
        <v>375</v>
      </c>
      <c r="E8">
        <v>345</v>
      </c>
      <c r="F8">
        <v>315</v>
      </c>
      <c r="G8">
        <v>367.5</v>
      </c>
      <c r="H8">
        <f>SUM(B8:G8)</f>
        <v>2077.5</v>
      </c>
      <c r="I8">
        <f>H8/$H$10</f>
        <v>2.4757637328916088E-2</v>
      </c>
      <c r="J8" t="str">
        <f>IF(H8&gt;5000,"High",IF(H8&gt;1000,"Medium","Low"))</f>
        <v>Medium</v>
      </c>
      <c r="K8">
        <f>ROUND(AVERAGE(B8:G8),2)</f>
        <v>346.25</v>
      </c>
    </row>
    <row r="9" spans="1:11" x14ac:dyDescent="0.35">
      <c r="A9" t="s">
        <v>18</v>
      </c>
      <c r="B9">
        <v>312.5</v>
      </c>
      <c r="C9">
        <v>287.5</v>
      </c>
      <c r="D9">
        <v>262.5</v>
      </c>
      <c r="E9">
        <v>306.25</v>
      </c>
      <c r="F9">
        <v>281.25</v>
      </c>
      <c r="G9">
        <v>256.25</v>
      </c>
      <c r="H9">
        <f>SUM(B9:G9)</f>
        <v>1706.25</v>
      </c>
      <c r="I9">
        <f>H9/$H$10</f>
        <v>2.0333438600463574E-2</v>
      </c>
      <c r="J9" t="str">
        <f>IF(H9&gt;5000,"High",IF(H9&gt;1000,"Medium","Low"))</f>
        <v>Medium</v>
      </c>
      <c r="K9">
        <f>ROUND(AVERAGE(B9:G9),2)</f>
        <v>284.38</v>
      </c>
    </row>
    <row r="10" spans="1:11" x14ac:dyDescent="0.35">
      <c r="A10" t="s">
        <v>7</v>
      </c>
      <c r="B10">
        <f>SUM(B2:B9)</f>
        <v>13277.5</v>
      </c>
      <c r="C10">
        <f>SUM(C2:C9)</f>
        <v>14935</v>
      </c>
      <c r="D10">
        <f>SUM(D2:D9)</f>
        <v>14015.75</v>
      </c>
      <c r="E10">
        <f>SUM(E2:E9)</f>
        <v>13300</v>
      </c>
      <c r="F10">
        <f>SUM(F2:F9)</f>
        <v>14677</v>
      </c>
      <c r="G10">
        <f>SUM(G2:G9)</f>
        <v>13708.25</v>
      </c>
      <c r="H10">
        <f>SUM(H2:H9)</f>
        <v>83913.5</v>
      </c>
      <c r="I10">
        <f>SUM(I2:I9)</f>
        <v>0.99999999999999989</v>
      </c>
      <c r="K10">
        <f>AVERAGE(K2:K9)</f>
        <v>1748.1987499999998</v>
      </c>
    </row>
    <row r="12" spans="1:11" x14ac:dyDescent="0.35">
      <c r="A12" t="s">
        <v>19</v>
      </c>
      <c r="B12" t="str">
        <f>INDEX(A2:A9,MATCH(MAX(H2:H9),H2:H9,0))</f>
        <v>Salaries</v>
      </c>
    </row>
    <row r="13" spans="1:11" x14ac:dyDescent="0.35">
      <c r="A13" t="s">
        <v>20</v>
      </c>
      <c r="B13" t="str">
        <f>INDEX(A2:A9,MATCH(MIN(H2:H9),H2:H9,0))</f>
        <v>Supplies</v>
      </c>
    </row>
    <row r="14" spans="1:11" x14ac:dyDescent="0.35">
      <c r="A14" t="s">
        <v>21</v>
      </c>
      <c r="B14">
        <f>COUNTIF(H2:H9,"&gt;"&amp;AVERAGE(H2:H9))</f>
        <v>1</v>
      </c>
    </row>
    <row r="15" spans="1:11" x14ac:dyDescent="0.35">
      <c r="A15" t="s">
        <v>22</v>
      </c>
      <c r="B15">
        <f>SUMIF(J2:J9,"High",H2:H9)</f>
        <v>71707.5</v>
      </c>
    </row>
    <row r="16" spans="1:11" x14ac:dyDescent="0.35">
      <c r="A16" t="s">
        <v>23</v>
      </c>
      <c r="B16">
        <f>SUMPRODUCT(--(B10:G10&gt;12000))</f>
        <v>6</v>
      </c>
    </row>
    <row r="17" spans="1:2" x14ac:dyDescent="0.35">
      <c r="A17" t="s">
        <v>24</v>
      </c>
      <c r="B17">
        <f>(G10-B10)/B10</f>
        <v>3.2442101299190361E-2</v>
      </c>
    </row>
    <row r="18" spans="1:2" x14ac:dyDescent="0.35">
      <c r="A18" t="s">
        <v>25</v>
      </c>
      <c r="B18" t="str">
        <f>"Total: "&amp;TEXT(H10,"#,##0.00")&amp;" across "&amp;COUNTA(A2:A9)&amp;" categories"</f>
        <v>Total: 83,913.50 across 8 categories</v>
      </c>
    </row>
    <row r="19" spans="1:2" x14ac:dyDescent="0.35">
      <c r="A19" t="s">
        <v>26</v>
      </c>
      <c r="B19">
        <f>SUM(B10:D10)</f>
        <v>42228.25</v>
      </c>
    </row>
    <row r="20" spans="1:2" x14ac:dyDescent="0.35">
      <c r="A20" t="s">
        <v>27</v>
      </c>
      <c r="B20">
        <f>SUM(E10:G10)</f>
        <v>41685.25</v>
      </c>
    </row>
    <row r="21" spans="1:2" x14ac:dyDescent="0.35">
      <c r="A21" t="s">
        <v>28</v>
      </c>
      <c r="B21">
        <f>IFERROR(B20/B19-1,0)</f>
        <v>-1.2858690568517517E-2</v>
      </c>
    </row>
    <row r="22" spans="1:2" x14ac:dyDescent="0.35">
      <c r="A22" t="s">
        <v>29</v>
      </c>
      <c r="B22">
        <f>GrandTotal</f>
        <v>83913.5</v>
      </c>
    </row>
    <row r="23" spans="1:2" x14ac:dyDescent="0.35">
      <c r="A23" t="s">
        <v>30</v>
      </c>
      <c r="B23">
        <f>MAX(MonthlyTotals)</f>
        <v>14935</v>
      </c>
    </row>
    <row r="24" spans="1:2" x14ac:dyDescent="0.35">
      <c r="A24" t="s">
        <v>31</v>
      </c>
      <c r="B24">
        <f>COUNT(MonthlyTotals)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63D2-8270-4E6E-85A3-5D9DB199D048}">
  <dimension ref="A1:F6"/>
  <sheetViews>
    <sheetView workbookViewId="0"/>
  </sheetViews>
  <sheetFormatPr defaultRowHeight="14.5" x14ac:dyDescent="0.35"/>
  <sheetData>
    <row r="1" spans="1:6" x14ac:dyDescent="0.35">
      <c r="A1" t="s">
        <v>32</v>
      </c>
      <c r="B1" t="s">
        <v>33</v>
      </c>
      <c r="C1" t="s">
        <v>34</v>
      </c>
      <c r="E1" t="s">
        <v>40</v>
      </c>
      <c r="F1">
        <v>0.2</v>
      </c>
    </row>
    <row r="2" spans="1:6" x14ac:dyDescent="0.35">
      <c r="A2" t="s">
        <v>35</v>
      </c>
      <c r="B2">
        <v>40000</v>
      </c>
      <c r="C2">
        <v>0.05</v>
      </c>
    </row>
    <row r="3" spans="1:6" x14ac:dyDescent="0.35">
      <c r="A3" t="s">
        <v>36</v>
      </c>
      <c r="B3">
        <v>52000</v>
      </c>
      <c r="C3">
        <v>0.08</v>
      </c>
    </row>
    <row r="4" spans="1:6" x14ac:dyDescent="0.35">
      <c r="A4" t="s">
        <v>37</v>
      </c>
      <c r="B4">
        <v>64000</v>
      </c>
      <c r="C4">
        <v>0.1</v>
      </c>
    </row>
    <row r="5" spans="1:6" x14ac:dyDescent="0.35">
      <c r="A5" t="s">
        <v>38</v>
      </c>
      <c r="B5">
        <v>80000</v>
      </c>
      <c r="C5">
        <v>0.12</v>
      </c>
    </row>
    <row r="6" spans="1:6" x14ac:dyDescent="0.35">
      <c r="A6" t="s">
        <v>39</v>
      </c>
      <c r="B6">
        <v>99000</v>
      </c>
      <c r="C6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6DCD-C85C-4AF9-B19A-BED987BB08FF}">
  <dimension ref="A1:K33"/>
  <sheetViews>
    <sheetView workbookViewId="0"/>
  </sheetViews>
  <sheetFormatPr defaultRowHeight="14.5" x14ac:dyDescent="0.35"/>
  <cols>
    <col min="4" max="4" width="10.08984375" bestFit="1" customWidth="1"/>
  </cols>
  <sheetData>
    <row r="1" spans="1:11" x14ac:dyDescent="0.35">
      <c r="A1" t="s">
        <v>41</v>
      </c>
      <c r="B1" t="s">
        <v>42</v>
      </c>
      <c r="C1" t="s">
        <v>32</v>
      </c>
      <c r="D1" t="s">
        <v>43</v>
      </c>
      <c r="E1" t="s">
        <v>33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35">
      <c r="A2" t="s">
        <v>50</v>
      </c>
      <c r="B2" t="s">
        <v>51</v>
      </c>
      <c r="C2" t="s">
        <v>36</v>
      </c>
      <c r="D2" s="1">
        <v>43831</v>
      </c>
      <c r="E2">
        <f>VLOOKUP(C2,Rates!$A$2:$C$6,2,FALSE)</f>
        <v>52000</v>
      </c>
      <c r="F2">
        <f>E2*VLOOKUP(C2,Rates!$A$2:$C$6,3,FALSE)</f>
        <v>4160</v>
      </c>
      <c r="G2">
        <f>E2+F2</f>
        <v>56160</v>
      </c>
      <c r="H2">
        <f>ROUND(G2*(1-TaxRate),0)</f>
        <v>44928</v>
      </c>
      <c r="I2">
        <f>DATEDIF(D2,DATE(2026,1,1),"Y")</f>
        <v>6</v>
      </c>
      <c r="J2" t="str">
        <f>LEFT(A2,1)&amp;MID(A2,FIND(" ",A2)+1,1)</f>
        <v>MC</v>
      </c>
      <c r="K2" t="str">
        <f>UPPER(LEFT(B2,3))&amp;"-"&amp;TEXT(ROW()-1,"000")</f>
        <v>OPS-001</v>
      </c>
    </row>
    <row r="3" spans="1:11" x14ac:dyDescent="0.35">
      <c r="A3" t="s">
        <v>52</v>
      </c>
      <c r="B3" t="s">
        <v>53</v>
      </c>
      <c r="C3" t="s">
        <v>37</v>
      </c>
      <c r="D3" s="1">
        <v>44197</v>
      </c>
      <c r="E3">
        <f>VLOOKUP(C3,Rates!$A$2:$C$6,2,FALSE)</f>
        <v>64000</v>
      </c>
      <c r="F3">
        <f>E3*VLOOKUP(C3,Rates!$A$2:$C$6,3,FALSE)</f>
        <v>6400</v>
      </c>
      <c r="G3">
        <f>E3+F3</f>
        <v>70400</v>
      </c>
      <c r="H3">
        <f>ROUND(G3*(1-TaxRate),0)</f>
        <v>56320</v>
      </c>
      <c r="I3">
        <f>DATEDIF(D3,DATE(2026,1,1),"Y")</f>
        <v>5</v>
      </c>
      <c r="J3" t="str">
        <f>LEFT(A3,1)&amp;MID(A3,FIND(" ",A3)+1,1)</f>
        <v>SO</v>
      </c>
      <c r="K3" t="str">
        <f>UPPER(LEFT(B3,3))&amp;"-"&amp;TEXT(ROW()-1,"000")</f>
        <v>FIN-002</v>
      </c>
    </row>
    <row r="4" spans="1:11" x14ac:dyDescent="0.35">
      <c r="A4" t="s">
        <v>54</v>
      </c>
      <c r="B4" t="s">
        <v>51</v>
      </c>
      <c r="C4" t="s">
        <v>35</v>
      </c>
      <c r="D4" s="1">
        <v>44562</v>
      </c>
      <c r="E4">
        <f>VLOOKUP(C4,Rates!$A$2:$C$6,2,FALSE)</f>
        <v>40000</v>
      </c>
      <c r="F4">
        <f>E4*VLOOKUP(C4,Rates!$A$2:$C$6,3,FALSE)</f>
        <v>2000</v>
      </c>
      <c r="G4">
        <f>E4+F4</f>
        <v>42000</v>
      </c>
      <c r="H4">
        <f>ROUND(G4*(1-TaxRate),0)</f>
        <v>33600</v>
      </c>
      <c r="I4">
        <f>DATEDIF(D4,DATE(2026,1,1),"Y")</f>
        <v>4</v>
      </c>
      <c r="J4" t="str">
        <f>LEFT(A4,1)&amp;MID(A4,FIND(" ",A4)+1,1)</f>
        <v>PN</v>
      </c>
      <c r="K4" t="str">
        <f>UPPER(LEFT(B4,3))&amp;"-"&amp;TEXT(ROW()-1,"000")</f>
        <v>OPS-003</v>
      </c>
    </row>
    <row r="5" spans="1:11" x14ac:dyDescent="0.35">
      <c r="A5" t="s">
        <v>55</v>
      </c>
      <c r="B5" t="s">
        <v>56</v>
      </c>
      <c r="C5" t="s">
        <v>38</v>
      </c>
      <c r="D5" s="1">
        <v>43101</v>
      </c>
      <c r="E5">
        <f>VLOOKUP(C5,Rates!$A$2:$C$6,2,FALSE)</f>
        <v>80000</v>
      </c>
      <c r="F5">
        <f>E5*VLOOKUP(C5,Rates!$A$2:$C$6,3,FALSE)</f>
        <v>9600</v>
      </c>
      <c r="G5">
        <f>E5+F5</f>
        <v>89600</v>
      </c>
      <c r="H5">
        <f>ROUND(G5*(1-TaxRate),0)</f>
        <v>71680</v>
      </c>
      <c r="I5">
        <f>DATEDIF(D5,DATE(2026,1,1),"Y")</f>
        <v>8</v>
      </c>
      <c r="J5" t="str">
        <f>LEFT(A5,1)&amp;MID(A5,FIND(" ",A5)+1,1)</f>
        <v>LR</v>
      </c>
      <c r="K5" t="str">
        <f>UPPER(LEFT(B5,3))&amp;"-"&amp;TEXT(ROW()-1,"000")</f>
        <v>SAL-004</v>
      </c>
    </row>
    <row r="6" spans="1:11" x14ac:dyDescent="0.35">
      <c r="A6" t="s">
        <v>57</v>
      </c>
      <c r="B6" t="s">
        <v>53</v>
      </c>
      <c r="C6" t="s">
        <v>36</v>
      </c>
      <c r="D6" s="1">
        <v>44927</v>
      </c>
      <c r="E6">
        <f>VLOOKUP(C6,Rates!$A$2:$C$6,2,FALSE)</f>
        <v>52000</v>
      </c>
      <c r="F6">
        <f>E6*VLOOKUP(C6,Rates!$A$2:$C$6,3,FALSE)</f>
        <v>4160</v>
      </c>
      <c r="G6">
        <f>E6+F6</f>
        <v>56160</v>
      </c>
      <c r="H6">
        <f>ROUND(G6*(1-TaxRate),0)</f>
        <v>44928</v>
      </c>
      <c r="I6">
        <f>DATEDIF(D6,DATE(2026,1,1),"Y")</f>
        <v>3</v>
      </c>
      <c r="J6" t="str">
        <f>LEFT(A6,1)&amp;MID(A6,FIND(" ",A6)+1,1)</f>
        <v>AC</v>
      </c>
      <c r="K6" t="str">
        <f>UPPER(LEFT(B6,3))&amp;"-"&amp;TEXT(ROW()-1,"000")</f>
        <v>FIN-005</v>
      </c>
    </row>
    <row r="7" spans="1:11" x14ac:dyDescent="0.35">
      <c r="A7" t="s">
        <v>58</v>
      </c>
      <c r="B7" t="s">
        <v>56</v>
      </c>
      <c r="C7" t="s">
        <v>39</v>
      </c>
      <c r="D7" s="1">
        <v>42370</v>
      </c>
      <c r="E7">
        <f>VLOOKUP(C7,Rates!$A$2:$C$6,2,FALSE)</f>
        <v>99000</v>
      </c>
      <c r="F7">
        <f>E7*VLOOKUP(C7,Rates!$A$2:$C$6,3,FALSE)</f>
        <v>14850</v>
      </c>
      <c r="G7">
        <f>E7+F7</f>
        <v>113850</v>
      </c>
      <c r="H7">
        <f>ROUND(G7*(1-TaxRate),0)</f>
        <v>91080</v>
      </c>
      <c r="I7">
        <f>DATEDIF(D7,DATE(2026,1,1),"Y")</f>
        <v>10</v>
      </c>
      <c r="J7" t="str">
        <f>LEFT(A7,1)&amp;MID(A7,FIND(" ",A7)+1,1)</f>
        <v>JW</v>
      </c>
      <c r="K7" t="str">
        <f>UPPER(LEFT(B7,3))&amp;"-"&amp;TEXT(ROW()-1,"000")</f>
        <v>SAL-006</v>
      </c>
    </row>
    <row r="8" spans="1:11" x14ac:dyDescent="0.35">
      <c r="A8" t="s">
        <v>59</v>
      </c>
      <c r="B8" t="s">
        <v>51</v>
      </c>
      <c r="C8" t="s">
        <v>37</v>
      </c>
      <c r="D8" s="1">
        <v>44287</v>
      </c>
      <c r="E8">
        <f>VLOOKUP(C8,Rates!$A$2:$C$6,2,FALSE)</f>
        <v>64000</v>
      </c>
      <c r="F8">
        <f>E8*VLOOKUP(C8,Rates!$A$2:$C$6,3,FALSE)</f>
        <v>6400</v>
      </c>
      <c r="G8">
        <f>E8+F8</f>
        <v>70400</v>
      </c>
      <c r="H8">
        <f>ROUND(G8*(1-TaxRate),0)</f>
        <v>56320</v>
      </c>
      <c r="I8">
        <f>DATEDIF(D8,DATE(2026,1,1),"Y")</f>
        <v>4</v>
      </c>
      <c r="J8" t="str">
        <f>LEFT(A8,1)&amp;MID(A8,FIND(" ",A8)+1,1)</f>
        <v>MT</v>
      </c>
      <c r="K8" t="str">
        <f>UPPER(LEFT(B8,3))&amp;"-"&amp;TEXT(ROW()-1,"000")</f>
        <v>OPS-007</v>
      </c>
    </row>
    <row r="9" spans="1:11" x14ac:dyDescent="0.35">
      <c r="A9" t="s">
        <v>60</v>
      </c>
      <c r="B9" t="s">
        <v>56</v>
      </c>
      <c r="C9" t="s">
        <v>36</v>
      </c>
      <c r="D9" s="1">
        <v>45292</v>
      </c>
      <c r="E9">
        <f>VLOOKUP(C9,Rates!$A$2:$C$6,2,FALSE)</f>
        <v>52000</v>
      </c>
      <c r="F9">
        <f>E9*VLOOKUP(C9,Rates!$A$2:$C$6,3,FALSE)</f>
        <v>4160</v>
      </c>
      <c r="G9">
        <f>E9+F9</f>
        <v>56160</v>
      </c>
      <c r="H9">
        <f>ROUND(G9*(1-TaxRate),0)</f>
        <v>44928</v>
      </c>
      <c r="I9">
        <f>DATEDIF(D9,DATE(2026,1,1),"Y")</f>
        <v>2</v>
      </c>
      <c r="J9" t="str">
        <f>LEFT(A9,1)&amp;MID(A9,FIND(" ",A9)+1,1)</f>
        <v>OH</v>
      </c>
      <c r="K9" t="str">
        <f>UPPER(LEFT(B9,3))&amp;"-"&amp;TEXT(ROW()-1,"000")</f>
        <v>SAL-008</v>
      </c>
    </row>
    <row r="10" spans="1:11" x14ac:dyDescent="0.35">
      <c r="A10" t="s">
        <v>61</v>
      </c>
      <c r="B10" t="s">
        <v>53</v>
      </c>
      <c r="C10" t="s">
        <v>38</v>
      </c>
      <c r="D10" s="1">
        <v>43466</v>
      </c>
      <c r="E10">
        <f>VLOOKUP(C10,Rates!$A$2:$C$6,2,FALSE)</f>
        <v>80000</v>
      </c>
      <c r="F10">
        <f>E10*VLOOKUP(C10,Rates!$A$2:$C$6,3,FALSE)</f>
        <v>9600</v>
      </c>
      <c r="G10">
        <f>E10+F10</f>
        <v>89600</v>
      </c>
      <c r="H10">
        <f>ROUND(G10*(1-TaxRate),0)</f>
        <v>71680</v>
      </c>
      <c r="I10">
        <f>DATEDIF(D10,DATE(2026,1,1),"Y")</f>
        <v>7</v>
      </c>
      <c r="J10" t="str">
        <f>LEFT(A10,1)&amp;MID(A10,FIND(" ",A10)+1,1)</f>
        <v>SP</v>
      </c>
      <c r="K10" t="str">
        <f>UPPER(LEFT(B10,3))&amp;"-"&amp;TEXT(ROW()-1,"000")</f>
        <v>FIN-009</v>
      </c>
    </row>
    <row r="11" spans="1:11" x14ac:dyDescent="0.35">
      <c r="A11" t="s">
        <v>62</v>
      </c>
      <c r="B11" t="s">
        <v>51</v>
      </c>
      <c r="C11" t="s">
        <v>35</v>
      </c>
      <c r="D11" s="1">
        <v>45658</v>
      </c>
      <c r="E11">
        <f>VLOOKUP(C11,Rates!$A$2:$C$6,2,FALSE)</f>
        <v>40000</v>
      </c>
      <c r="F11">
        <f>E11*VLOOKUP(C11,Rates!$A$2:$C$6,3,FALSE)</f>
        <v>2000</v>
      </c>
      <c r="G11">
        <f>E11+F11</f>
        <v>42000</v>
      </c>
      <c r="H11">
        <f>ROUND(G11*(1-TaxRate),0)</f>
        <v>33600</v>
      </c>
      <c r="I11">
        <f>DATEDIF(D11,DATE(2026,1,1),"Y")</f>
        <v>1</v>
      </c>
      <c r="J11" t="str">
        <f>LEFT(A11,1)&amp;MID(A11,FIND(" ",A11)+1,1)</f>
        <v>NK</v>
      </c>
      <c r="K11" t="str">
        <f>UPPER(LEFT(B11,3))&amp;"-"&amp;TEXT(ROW()-1,"000")</f>
        <v>OPS-010</v>
      </c>
    </row>
    <row r="13" spans="1:11" x14ac:dyDescent="0.35">
      <c r="A13" t="s">
        <v>63</v>
      </c>
      <c r="B13">
        <f>COUNTA(A2:A11)</f>
        <v>10</v>
      </c>
    </row>
    <row r="14" spans="1:11" x14ac:dyDescent="0.35">
      <c r="A14" t="s">
        <v>64</v>
      </c>
      <c r="B14">
        <f>SUM(G2:G11)</f>
        <v>686330</v>
      </c>
    </row>
    <row r="15" spans="1:11" x14ac:dyDescent="0.35">
      <c r="A15" t="s">
        <v>65</v>
      </c>
      <c r="B15">
        <f>AVERAGE(H2:H11)</f>
        <v>54906.400000000001</v>
      </c>
    </row>
    <row r="16" spans="1:11" x14ac:dyDescent="0.35">
      <c r="A16" t="s">
        <v>66</v>
      </c>
      <c r="B16">
        <f>SUMIF(B2:B11,"Ops",G2:G11)</f>
        <v>210560</v>
      </c>
    </row>
    <row r="17" spans="1:2" x14ac:dyDescent="0.35">
      <c r="A17" t="s">
        <v>67</v>
      </c>
      <c r="B17">
        <f>COUNTIF(B2:B11,"Sales")</f>
        <v>3</v>
      </c>
    </row>
    <row r="18" spans="1:2" x14ac:dyDescent="0.35">
      <c r="A18" t="s">
        <v>68</v>
      </c>
      <c r="B18">
        <f>AVERAGEIF(B2:B11,"Finance",G2:G11)</f>
        <v>72053.333333333328</v>
      </c>
    </row>
    <row r="19" spans="1:2" x14ac:dyDescent="0.35">
      <c r="A19" t="s">
        <v>69</v>
      </c>
      <c r="B19">
        <f>COUNTIFS(B2:B11,"Ops",I2:I11,"&gt;=3")</f>
        <v>3</v>
      </c>
    </row>
    <row r="20" spans="1:2" x14ac:dyDescent="0.35">
      <c r="A20" t="s">
        <v>70</v>
      </c>
      <c r="B20" t="str">
        <f>INDEX(A2:A11,MATCH(MAX(G2:G11),G2:G11,0))</f>
        <v>Jonas Weber</v>
      </c>
    </row>
    <row r="21" spans="1:2" x14ac:dyDescent="0.35">
      <c r="A21" t="s">
        <v>71</v>
      </c>
      <c r="B21" t="str">
        <f>TEXT(MIN(D2:D11),"yyyy-mm-dd")</f>
        <v>2016-01-01</v>
      </c>
    </row>
    <row r="22" spans="1:2" x14ac:dyDescent="0.35">
      <c r="A22" t="s">
        <v>72</v>
      </c>
      <c r="B22" t="str">
        <f>TEXT(MAX(D2:D11),"d mmm yyyy")</f>
        <v>1 Jan 2025</v>
      </c>
    </row>
    <row r="23" spans="1:2" x14ac:dyDescent="0.35">
      <c r="A23" t="s">
        <v>73</v>
      </c>
      <c r="B23">
        <f>MEDIAN(G2:G11)</f>
        <v>63280</v>
      </c>
    </row>
    <row r="24" spans="1:2" x14ac:dyDescent="0.35">
      <c r="A24" t="s">
        <v>74</v>
      </c>
      <c r="B24">
        <f>LARGE(G2:G11,1)+LARGE(G2:G11,2)+LARGE(G2:G11,3)</f>
        <v>293050</v>
      </c>
    </row>
    <row r="25" spans="1:2" x14ac:dyDescent="0.35">
      <c r="A25" t="s">
        <v>75</v>
      </c>
      <c r="B25">
        <f>RANK(G2,G2:G11)</f>
        <v>6</v>
      </c>
    </row>
    <row r="26" spans="1:2" x14ac:dyDescent="0.35">
      <c r="A26" t="s">
        <v>76</v>
      </c>
      <c r="B26">
        <f>SUMPRODUCT((H2:H11&gt;60000)*H2:H11)</f>
        <v>234440</v>
      </c>
    </row>
    <row r="27" spans="1:2" x14ac:dyDescent="0.35">
      <c r="A27" t="s">
        <v>77</v>
      </c>
      <c r="B27">
        <f>SUMPRODUCT(1/COUNTIF(B2:B11,B2:B11))</f>
        <v>3</v>
      </c>
    </row>
    <row r="28" spans="1:2" x14ac:dyDescent="0.35">
      <c r="A28" t="s">
        <v>78</v>
      </c>
      <c r="B28" t="str">
        <f>B20&amp;" earns "&amp;TEXT(MAX(G2:G11),"$#,##0")</f>
        <v>Jonas Weber earns $113,850</v>
      </c>
    </row>
    <row r="29" spans="1:2" x14ac:dyDescent="0.35">
      <c r="A29" t="s">
        <v>79</v>
      </c>
      <c r="B29" t="str">
        <f>TEXT(WEEKDAY(D2),"0")&amp;"/"&amp;CHOOSE(WEEKDAY(D2,2),"Mon","Tue","Wed","Thu","Fri","Sat","Sun")</f>
        <v>4/Wed</v>
      </c>
    </row>
    <row r="30" spans="1:2" x14ac:dyDescent="0.35">
      <c r="A30" t="s">
        <v>80</v>
      </c>
      <c r="B30">
        <f>DATEDIF(MIN(D2:D11),DATE(2026,1,1),"M")</f>
        <v>120</v>
      </c>
    </row>
    <row r="31" spans="1:2" x14ac:dyDescent="0.35">
      <c r="A31" t="s">
        <v>81</v>
      </c>
      <c r="B31">
        <f>EOMONTH(D2,0)-D2</f>
        <v>30</v>
      </c>
    </row>
    <row r="32" spans="1:2" x14ac:dyDescent="0.35">
      <c r="A32" t="s">
        <v>82</v>
      </c>
      <c r="B32">
        <f>NETWORKDAYS(D2,D2+30)</f>
        <v>23</v>
      </c>
    </row>
    <row r="33" spans="1:2" x14ac:dyDescent="0.35">
      <c r="A33" t="s">
        <v>83</v>
      </c>
      <c r="B33" t="str">
        <f>LOOKUP(60000,Rates!B2:B6,Rates!A2:A6)</f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DDF9-82A3-4EFE-AE22-EB10D3B7C187}">
  <dimension ref="A1:H22"/>
  <sheetViews>
    <sheetView workbookViewId="0"/>
  </sheetViews>
  <sheetFormatPr defaultRowHeight="14.5" x14ac:dyDescent="0.35"/>
  <sheetData>
    <row r="1" spans="1:8" x14ac:dyDescent="0.35">
      <c r="A1" t="s">
        <v>84</v>
      </c>
      <c r="B1">
        <v>250000</v>
      </c>
      <c r="D1" t="s">
        <v>100</v>
      </c>
      <c r="E1" t="s">
        <v>101</v>
      </c>
      <c r="F1" t="s">
        <v>102</v>
      </c>
      <c r="G1" t="s">
        <v>84</v>
      </c>
      <c r="H1" t="s">
        <v>103</v>
      </c>
    </row>
    <row r="2" spans="1:8" x14ac:dyDescent="0.35">
      <c r="A2" t="s">
        <v>85</v>
      </c>
      <c r="B2">
        <v>4.4999999999999998E-2</v>
      </c>
      <c r="D2">
        <v>1</v>
      </c>
      <c r="E2">
        <f>$B$1</f>
        <v>250000</v>
      </c>
      <c r="F2">
        <f>E2*$B$2/12</f>
        <v>937.5</v>
      </c>
      <c r="G2" s="2">
        <f>$B$4-F2</f>
        <v>974.98322203362932</v>
      </c>
      <c r="H2" s="2">
        <f>E2-G2</f>
        <v>249025.01677796638</v>
      </c>
    </row>
    <row r="3" spans="1:8" x14ac:dyDescent="0.35">
      <c r="A3" t="s">
        <v>86</v>
      </c>
      <c r="B3">
        <v>15</v>
      </c>
      <c r="D3">
        <v>2</v>
      </c>
      <c r="E3" s="2">
        <f>H2</f>
        <v>249025.01677796638</v>
      </c>
      <c r="F3">
        <f>E3*$B$2/12</f>
        <v>933.84381291737384</v>
      </c>
      <c r="G3" s="2">
        <f>$B$4-F3</f>
        <v>978.63940911625548</v>
      </c>
      <c r="H3" s="2">
        <f>E3-G3</f>
        <v>248046.37736885011</v>
      </c>
    </row>
    <row r="4" spans="1:8" x14ac:dyDescent="0.35">
      <c r="A4" t="s">
        <v>87</v>
      </c>
      <c r="B4" s="2">
        <f>-PMT(B2/12,B3*12,B1)</f>
        <v>1912.4832220336293</v>
      </c>
      <c r="D4">
        <v>3</v>
      </c>
      <c r="E4" s="2">
        <f>H3</f>
        <v>248046.37736885011</v>
      </c>
      <c r="F4">
        <f>E4*$B$2/12</f>
        <v>930.17391513318796</v>
      </c>
      <c r="G4" s="2">
        <f>$B$4-F4</f>
        <v>982.30930690044136</v>
      </c>
      <c r="H4" s="2">
        <f>E4-G4</f>
        <v>247064.06806194966</v>
      </c>
    </row>
    <row r="5" spans="1:8" x14ac:dyDescent="0.35">
      <c r="A5" t="s">
        <v>88</v>
      </c>
      <c r="B5">
        <f>B4*B3*12</f>
        <v>344246.97996605327</v>
      </c>
      <c r="D5">
        <v>4</v>
      </c>
      <c r="E5" s="2">
        <f>H4</f>
        <v>247064.06806194966</v>
      </c>
      <c r="F5">
        <f>E5*$B$2/12</f>
        <v>926.49025523231114</v>
      </c>
      <c r="G5" s="2">
        <f>$B$4-F5</f>
        <v>985.99296680131818</v>
      </c>
      <c r="H5" s="2">
        <f>E5-G5</f>
        <v>246078.07509514835</v>
      </c>
    </row>
    <row r="6" spans="1:8" x14ac:dyDescent="0.35">
      <c r="A6" t="s">
        <v>89</v>
      </c>
      <c r="B6">
        <f>B5-B1</f>
        <v>94246.979966053274</v>
      </c>
      <c r="D6">
        <v>5</v>
      </c>
      <c r="E6" s="2">
        <f>H5</f>
        <v>246078.07509514835</v>
      </c>
      <c r="F6">
        <f>E6*$B$2/12</f>
        <v>922.79278160680633</v>
      </c>
      <c r="G6" s="2">
        <f>$B$4-F6</f>
        <v>989.69044042682299</v>
      </c>
      <c r="H6" s="2">
        <f>E6-G6</f>
        <v>245088.38465472154</v>
      </c>
    </row>
    <row r="7" spans="1:8" x14ac:dyDescent="0.35">
      <c r="A7" t="s">
        <v>90</v>
      </c>
      <c r="B7" s="2">
        <f>-IPMT(B2/12,1,B3*12,B1)</f>
        <v>937.5</v>
      </c>
      <c r="D7">
        <v>6</v>
      </c>
      <c r="E7" s="2">
        <f>H6</f>
        <v>245088.38465472154</v>
      </c>
      <c r="F7">
        <f>E7*$B$2/12</f>
        <v>919.08144245520577</v>
      </c>
      <c r="G7" s="2">
        <f>$B$4-F7</f>
        <v>993.40177957842354</v>
      </c>
      <c r="H7" s="2">
        <f>E7-G7</f>
        <v>244094.98287514312</v>
      </c>
    </row>
    <row r="8" spans="1:8" x14ac:dyDescent="0.35">
      <c r="A8" t="s">
        <v>91</v>
      </c>
      <c r="B8" s="2">
        <f>-PPMT(B2/12,1,B3*12,B1)</f>
        <v>974.98322203362943</v>
      </c>
      <c r="D8">
        <v>7</v>
      </c>
      <c r="E8" s="2">
        <f>H7</f>
        <v>244094.98287514312</v>
      </c>
      <c r="F8">
        <f>E8*$B$2/12</f>
        <v>915.35618578178673</v>
      </c>
      <c r="G8" s="2">
        <f>$B$4-F8</f>
        <v>997.12703625184258</v>
      </c>
      <c r="H8" s="2">
        <f>E8-G8</f>
        <v>243097.85583889126</v>
      </c>
    </row>
    <row r="9" spans="1:8" x14ac:dyDescent="0.35">
      <c r="A9" t="s">
        <v>92</v>
      </c>
      <c r="B9" s="2">
        <f>FV(0.03/12,120,-200)</f>
        <v>27948.28377526606</v>
      </c>
      <c r="D9">
        <v>8</v>
      </c>
      <c r="E9" s="2">
        <f>H8</f>
        <v>243097.85583889126</v>
      </c>
      <c r="F9">
        <f>E9*$B$2/12</f>
        <v>911.61695939584217</v>
      </c>
      <c r="G9" s="2">
        <f>$B$4-F9</f>
        <v>1000.8662626377871</v>
      </c>
      <c r="H9" s="2">
        <f>E9-G9</f>
        <v>242096.98957625349</v>
      </c>
    </row>
    <row r="10" spans="1:8" x14ac:dyDescent="0.35">
      <c r="A10" t="s">
        <v>93</v>
      </c>
      <c r="B10" s="2">
        <f>PV(0.05,10,-1000)</f>
        <v>7721.7349291848132</v>
      </c>
      <c r="D10">
        <v>9</v>
      </c>
      <c r="E10" s="2">
        <f>H9</f>
        <v>242096.98957625349</v>
      </c>
      <c r="F10">
        <f>E10*$B$2/12</f>
        <v>907.86371091095054</v>
      </c>
      <c r="G10" s="2">
        <f>$B$4-F10</f>
        <v>1004.6195111226788</v>
      </c>
      <c r="H10" s="2">
        <f>E10-G10</f>
        <v>241092.37006513082</v>
      </c>
    </row>
    <row r="11" spans="1:8" x14ac:dyDescent="0.35">
      <c r="A11" t="s">
        <v>94</v>
      </c>
      <c r="B11">
        <f>NPER(B2/12,-1500,B1)</f>
        <v>262.04457616050689</v>
      </c>
      <c r="D11">
        <v>10</v>
      </c>
      <c r="E11" s="2">
        <f>H10</f>
        <v>241092.37006513082</v>
      </c>
      <c r="F11">
        <f>E11*$B$2/12</f>
        <v>904.09638774424047</v>
      </c>
      <c r="G11" s="2">
        <f>$B$4-F11</f>
        <v>1008.3868342893888</v>
      </c>
      <c r="H11" s="2">
        <f>E11-G11</f>
        <v>240083.98323084143</v>
      </c>
    </row>
    <row r="12" spans="1:8" x14ac:dyDescent="0.35">
      <c r="A12" t="s">
        <v>95</v>
      </c>
      <c r="B12" s="2">
        <f>NPV(0.08,B15:B19)</f>
        <v>342.20376506726251</v>
      </c>
      <c r="D12">
        <v>11</v>
      </c>
      <c r="E12" s="2">
        <f>H11</f>
        <v>240083.98323084143</v>
      </c>
      <c r="F12">
        <f>E12*$B$2/12</f>
        <v>900.31493711565543</v>
      </c>
      <c r="G12" s="2">
        <f>$B$4-F12</f>
        <v>1012.1682849179739</v>
      </c>
      <c r="H12" s="2">
        <f>E12-G12</f>
        <v>239071.81494592346</v>
      </c>
    </row>
    <row r="13" spans="1:8" x14ac:dyDescent="0.35">
      <c r="D13">
        <v>12</v>
      </c>
      <c r="E13" s="2">
        <f>H12</f>
        <v>239071.81494592346</v>
      </c>
      <c r="F13">
        <f>E13*$B$2/12</f>
        <v>896.51930604721292</v>
      </c>
      <c r="G13" s="2">
        <f>$B$4-F13</f>
        <v>1015.9639159864164</v>
      </c>
      <c r="H13" s="2">
        <f>E13-G13</f>
        <v>238055.85102993704</v>
      </c>
    </row>
    <row r="14" spans="1:8" x14ac:dyDescent="0.35">
      <c r="A14" t="s">
        <v>96</v>
      </c>
      <c r="D14" t="s">
        <v>104</v>
      </c>
      <c r="E14" s="2">
        <f>H13</f>
        <v>238055.85102993704</v>
      </c>
    </row>
    <row r="15" spans="1:8" x14ac:dyDescent="0.35">
      <c r="B15">
        <v>-5000</v>
      </c>
      <c r="D15" t="s">
        <v>105</v>
      </c>
      <c r="E15">
        <f>SUM(F2:F13)</f>
        <v>11005.649694340573</v>
      </c>
    </row>
    <row r="16" spans="1:8" x14ac:dyDescent="0.35">
      <c r="B16">
        <v>1200</v>
      </c>
    </row>
    <row r="17" spans="1:2" x14ac:dyDescent="0.35">
      <c r="B17">
        <v>1500</v>
      </c>
    </row>
    <row r="18" spans="1:2" x14ac:dyDescent="0.35">
      <c r="B18">
        <v>1800</v>
      </c>
    </row>
    <row r="19" spans="1:2" x14ac:dyDescent="0.35">
      <c r="B19">
        <v>2100</v>
      </c>
    </row>
    <row r="20" spans="1:2" x14ac:dyDescent="0.35">
      <c r="A20" t="s">
        <v>97</v>
      </c>
      <c r="B20" s="3">
        <f>IRR(B15:B19)</f>
        <v>0.10982876470000713</v>
      </c>
    </row>
    <row r="21" spans="1:2" x14ac:dyDescent="0.35">
      <c r="A21" t="s">
        <v>98</v>
      </c>
      <c r="B21" s="2">
        <f>SLN(10000,1000,5)</f>
        <v>1800</v>
      </c>
    </row>
    <row r="22" spans="1:2" x14ac:dyDescent="0.35">
      <c r="A22" t="s">
        <v>99</v>
      </c>
      <c r="B22">
        <f>EFFECT(0.06,12)</f>
        <v>6.1677811864497611E-2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D98E-8633-40CB-9199-8ADC8E62C02C}">
  <dimension ref="A1:F36"/>
  <sheetViews>
    <sheetView tabSelected="1" workbookViewId="0"/>
  </sheetViews>
  <sheetFormatPr defaultRowHeight="14.5" x14ac:dyDescent="0.35"/>
  <sheetData>
    <row r="1" spans="1:6" x14ac:dyDescent="0.35">
      <c r="A1" t="s">
        <v>106</v>
      </c>
      <c r="B1" t="s">
        <v>107</v>
      </c>
      <c r="C1" t="s">
        <v>108</v>
      </c>
      <c r="E1" t="s">
        <v>112</v>
      </c>
      <c r="F1">
        <f>AVERAGE(A2:A13)</f>
        <v>11.333333333333334</v>
      </c>
    </row>
    <row r="2" spans="1:6" x14ac:dyDescent="0.35">
      <c r="A2">
        <v>2</v>
      </c>
      <c r="B2">
        <v>2.4</v>
      </c>
      <c r="C2" t="s">
        <v>109</v>
      </c>
      <c r="E2" t="s">
        <v>113</v>
      </c>
      <c r="F2">
        <f>MEDIAN(A2:A13)</f>
        <v>11</v>
      </c>
    </row>
    <row r="3" spans="1:6" x14ac:dyDescent="0.35">
      <c r="A3">
        <v>4</v>
      </c>
      <c r="B3">
        <v>6.8</v>
      </c>
      <c r="C3" t="s">
        <v>110</v>
      </c>
      <c r="E3" t="s">
        <v>114</v>
      </c>
      <c r="F3">
        <f>STDEV(A2:A13)</f>
        <v>6.3005531262715104</v>
      </c>
    </row>
    <row r="4" spans="1:6" x14ac:dyDescent="0.35">
      <c r="A4">
        <v>5</v>
      </c>
      <c r="B4">
        <v>9.5</v>
      </c>
      <c r="C4" t="s">
        <v>111</v>
      </c>
      <c r="E4" t="s">
        <v>115</v>
      </c>
      <c r="F4">
        <f>VAR(A2:A13)</f>
        <v>39.696969696969703</v>
      </c>
    </row>
    <row r="5" spans="1:6" x14ac:dyDescent="0.35">
      <c r="A5">
        <v>7</v>
      </c>
      <c r="B5">
        <v>13.9</v>
      </c>
      <c r="C5" t="s">
        <v>109</v>
      </c>
      <c r="E5" t="s">
        <v>116</v>
      </c>
      <c r="F5">
        <f>STDEVP(A2:A13)</f>
        <v>6.0323203569512858</v>
      </c>
    </row>
    <row r="6" spans="1:6" x14ac:dyDescent="0.35">
      <c r="A6">
        <v>9</v>
      </c>
      <c r="B6">
        <v>18.3</v>
      </c>
      <c r="C6" t="s">
        <v>110</v>
      </c>
      <c r="E6" t="s">
        <v>117</v>
      </c>
      <c r="F6">
        <f>MIN(B2:B13)</f>
        <v>2.4</v>
      </c>
    </row>
    <row r="7" spans="1:6" x14ac:dyDescent="0.35">
      <c r="A7">
        <v>10</v>
      </c>
      <c r="B7">
        <v>21</v>
      </c>
      <c r="C7" t="s">
        <v>111</v>
      </c>
      <c r="E7" t="s">
        <v>118</v>
      </c>
      <c r="F7">
        <f>MAX(B2:B13)</f>
        <v>36.700000000000003</v>
      </c>
    </row>
    <row r="8" spans="1:6" x14ac:dyDescent="0.35">
      <c r="A8">
        <v>12</v>
      </c>
      <c r="B8">
        <v>25.4</v>
      </c>
      <c r="C8" t="s">
        <v>109</v>
      </c>
      <c r="E8" t="s">
        <v>119</v>
      </c>
      <c r="F8">
        <f>MAX(B2:B13)-MIN(B2:B13)</f>
        <v>34.300000000000004</v>
      </c>
    </row>
    <row r="9" spans="1:6" x14ac:dyDescent="0.35">
      <c r="A9">
        <v>13</v>
      </c>
      <c r="B9">
        <v>28.1</v>
      </c>
      <c r="C9" t="s">
        <v>110</v>
      </c>
      <c r="E9" t="s">
        <v>120</v>
      </c>
      <c r="F9">
        <f>CORREL(A2:A13,B2:B13)</f>
        <v>0.97120487255062271</v>
      </c>
    </row>
    <row r="10" spans="1:6" x14ac:dyDescent="0.35">
      <c r="A10">
        <v>15</v>
      </c>
      <c r="B10">
        <v>32.5</v>
      </c>
      <c r="C10" t="s">
        <v>111</v>
      </c>
      <c r="E10" t="s">
        <v>121</v>
      </c>
      <c r="F10">
        <f>SLOPE(B2:B13,A2:A13)</f>
        <v>1.7549618320610689</v>
      </c>
    </row>
    <row r="11" spans="1:6" x14ac:dyDescent="0.35">
      <c r="A11">
        <v>18</v>
      </c>
      <c r="B11">
        <v>29.6</v>
      </c>
      <c r="C11" t="s">
        <v>109</v>
      </c>
      <c r="E11" t="s">
        <v>122</v>
      </c>
      <c r="F11">
        <f>INTERCEPT(B2:B13,A2:A13)</f>
        <v>1.627099236641218</v>
      </c>
    </row>
    <row r="12" spans="1:6" x14ac:dyDescent="0.35">
      <c r="A12">
        <v>20</v>
      </c>
      <c r="B12">
        <v>34</v>
      </c>
      <c r="C12" t="s">
        <v>110</v>
      </c>
      <c r="E12" t="s">
        <v>123</v>
      </c>
      <c r="F12">
        <f>RSQ(B2:B13,A2:A13)</f>
        <v>0.9432389044660715</v>
      </c>
    </row>
    <row r="13" spans="1:6" x14ac:dyDescent="0.35">
      <c r="A13">
        <v>21</v>
      </c>
      <c r="B13">
        <v>36.700000000000003</v>
      </c>
      <c r="C13" t="s">
        <v>111</v>
      </c>
      <c r="E13" t="s">
        <v>124</v>
      </c>
      <c r="F13">
        <f>FORECAST(25,B2:B13,A2:A13)</f>
        <v>45.501145038167948</v>
      </c>
    </row>
    <row r="14" spans="1:6" x14ac:dyDescent="0.35">
      <c r="E14" t="s">
        <v>125</v>
      </c>
      <c r="F14">
        <f>PERCENTILE(B2:B13,0.9)</f>
        <v>33.85</v>
      </c>
    </row>
    <row r="15" spans="1:6" x14ac:dyDescent="0.35">
      <c r="E15" t="s">
        <v>126</v>
      </c>
      <c r="F15">
        <f>QUARTILE(B2:B13,1)</f>
        <v>12.8</v>
      </c>
    </row>
    <row r="16" spans="1:6" x14ac:dyDescent="0.35">
      <c r="E16" t="s">
        <v>127</v>
      </c>
      <c r="F16">
        <f>QUARTILE(B2:B13,3)</f>
        <v>30.325000000000003</v>
      </c>
    </row>
    <row r="17" spans="5:6" x14ac:dyDescent="0.35">
      <c r="E17" t="s">
        <v>128</v>
      </c>
      <c r="F17">
        <f>COUNTIF(B2:B13,"&gt;"&amp;AVERAGE(B2:B13))</f>
        <v>6</v>
      </c>
    </row>
    <row r="18" spans="5:6" x14ac:dyDescent="0.35">
      <c r="E18" t="s">
        <v>129</v>
      </c>
      <c r="F18">
        <f>SUMIF(C2:C13,"a",B2:B13)</f>
        <v>71.300000000000011</v>
      </c>
    </row>
    <row r="19" spans="5:6" x14ac:dyDescent="0.35">
      <c r="E19" t="s">
        <v>130</v>
      </c>
      <c r="F19">
        <f>AVERAGEIF(C2:C13,"b",B2:B13)</f>
        <v>21.8</v>
      </c>
    </row>
    <row r="20" spans="5:6" x14ac:dyDescent="0.35">
      <c r="E20" t="s">
        <v>131</v>
      </c>
      <c r="F20">
        <f>COUNTIF(C2:C13,"c")</f>
        <v>4</v>
      </c>
    </row>
    <row r="21" spans="5:6" x14ac:dyDescent="0.35">
      <c r="E21" t="s">
        <v>132</v>
      </c>
      <c r="F21">
        <f>SKEW(B2:B13)</f>
        <v>-0.35049791391549479</v>
      </c>
    </row>
    <row r="22" spans="5:6" x14ac:dyDescent="0.35">
      <c r="E22" t="s">
        <v>133</v>
      </c>
      <c r="F22">
        <f>KURT(B2:B13)</f>
        <v>-1.1902420448295494</v>
      </c>
    </row>
    <row r="23" spans="5:6" x14ac:dyDescent="0.35">
      <c r="E23" t="s">
        <v>134</v>
      </c>
      <c r="F23">
        <f>GEOMEAN(A2:A13)</f>
        <v>9.3489215641781893</v>
      </c>
    </row>
    <row r="24" spans="5:6" x14ac:dyDescent="0.35">
      <c r="E24" t="s">
        <v>135</v>
      </c>
      <c r="F24">
        <f>SMALL(A2:A13,1)</f>
        <v>2</v>
      </c>
    </row>
    <row r="25" spans="5:6" x14ac:dyDescent="0.35">
      <c r="E25" t="s">
        <v>136</v>
      </c>
      <c r="F25">
        <f>STANDARDIZE(10,AVERAGE(A2:A13),STDEV(A2:A13))</f>
        <v>-0.21162163172209658</v>
      </c>
    </row>
    <row r="26" spans="5:6" x14ac:dyDescent="0.35">
      <c r="E26" t="s">
        <v>137</v>
      </c>
      <c r="F26">
        <f>_xlfn.NORM.DIST(10,AVERAGE(A2:A13),STDEV(A2:A13),TRUE)</f>
        <v>0.41620111592722453</v>
      </c>
    </row>
    <row r="27" spans="5:6" x14ac:dyDescent="0.35">
      <c r="E27" t="s">
        <v>138</v>
      </c>
      <c r="F27">
        <f>STDEV(B2:B13)/SQRT(COUNT(B2:B13))</f>
        <v>3.2865850687516711</v>
      </c>
    </row>
    <row r="28" spans="5:6" x14ac:dyDescent="0.35">
      <c r="E28" t="s">
        <v>139</v>
      </c>
      <c r="F28">
        <f>ROUND(AVERAGE(B2:B13),1)</f>
        <v>21.5</v>
      </c>
    </row>
    <row r="29" spans="5:6" x14ac:dyDescent="0.35">
      <c r="E29" t="s">
        <v>140</v>
      </c>
      <c r="F29">
        <f>CEILING(AVERAGE(B2:B13),5)</f>
        <v>25</v>
      </c>
    </row>
    <row r="30" spans="5:6" x14ac:dyDescent="0.35">
      <c r="E30" t="s">
        <v>141</v>
      </c>
      <c r="F30">
        <f>FLOOR(AVERAGE(B2:B13),5)</f>
        <v>20</v>
      </c>
    </row>
    <row r="31" spans="5:6" x14ac:dyDescent="0.35">
      <c r="E31" t="s">
        <v>142</v>
      </c>
      <c r="F31">
        <f>INT(AVERAGE(B2:B13))</f>
        <v>21</v>
      </c>
    </row>
    <row r="32" spans="5:6" x14ac:dyDescent="0.35">
      <c r="E32" t="s">
        <v>143</v>
      </c>
      <c r="F32">
        <f>SIGN(SLOPE(B2:B13,A2:A13))</f>
        <v>1</v>
      </c>
    </row>
    <row r="33" spans="5:6" x14ac:dyDescent="0.35">
      <c r="E33" t="s">
        <v>144</v>
      </c>
      <c r="F33">
        <f>AVEDEV(B2:B13)</f>
        <v>9.5333333333333332</v>
      </c>
    </row>
    <row r="34" spans="5:6" x14ac:dyDescent="0.35">
      <c r="E34" t="s">
        <v>145</v>
      </c>
      <c r="F34">
        <f>DEVSQ(B2:B13)</f>
        <v>1425.8166666666668</v>
      </c>
    </row>
    <row r="35" spans="5:6" x14ac:dyDescent="0.35">
      <c r="E35" t="s">
        <v>146</v>
      </c>
      <c r="F35">
        <f>HARMEAN(A2:A13)</f>
        <v>7.1256117455138659</v>
      </c>
    </row>
    <row r="36" spans="5:6" x14ac:dyDescent="0.35">
      <c r="E36" t="s">
        <v>147</v>
      </c>
      <c r="F36">
        <f>TRIMMEAN(B2:B13,0.2)</f>
        <v>21.91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Budget</vt:lpstr>
      <vt:lpstr>Rates</vt:lpstr>
      <vt:lpstr>Staff</vt:lpstr>
      <vt:lpstr>Loan</vt:lpstr>
      <vt:lpstr>Stats</vt:lpstr>
      <vt:lpstr>GrandTotal</vt:lpstr>
      <vt:lpstr>MonthlyTotals</vt:lpstr>
      <vt:lpstr>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a2i</dc:creator>
  <cp:lastModifiedBy>a2i</cp:lastModifiedBy>
  <dcterms:created xsi:type="dcterms:W3CDTF">2026-10-14T06:23:34Z</dcterms:created>
  <dcterms:modified xsi:type="dcterms:W3CDTF">2026-10-14T06:23:42Z</dcterms:modified>
</cp:coreProperties>
</file>